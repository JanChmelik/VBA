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080E0FD7-DC39-4130-9618-FBD8FFE38623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<sst xmlns="http://schemas.openxmlformats.org/spreadsheetml/2006/main" count="21" uniqueCount="19">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</sst>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M17" sqref="M1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1178</v>
      </c>
      <c r="E4" s="5">
        <f t="shared" ref="E4:O4" si="1">D4+D5-D6</f>
        <v>990</v>
      </c>
      <c r="F4" s="5">
        <f t="shared" si="1"/>
        <v>651</v>
      </c>
      <c r="G4" s="5">
        <f t="shared" si="1"/>
        <v>647</v>
      </c>
      <c r="H4" s="5">
        <f t="shared" si="1"/>
        <v>777</v>
      </c>
      <c r="I4" s="5">
        <f t="shared" si="1"/>
        <v>722</v>
      </c>
      <c r="J4" s="5">
        <f t="shared" si="1"/>
        <v>460</v>
      </c>
      <c r="K4" s="5">
        <f t="shared" si="1"/>
        <v>446</v>
      </c>
      <c r="L4" s="5">
        <f t="shared" si="1"/>
        <v>399</v>
      </c>
      <c r="M4" s="5">
        <f>L4+L5-L6</f>
        <v>151</v>
      </c>
      <c r="N4" s="5">
        <f t="shared" si="1"/>
        <v>90</v>
      </c>
      <c r="O4" s="5">
        <f t="shared" si="1"/>
        <v>-141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322</v>
      </c>
      <c r="D6">
        <v>688</v>
      </c>
      <c r="E6">
        <v>839</v>
      </c>
      <c r="F6">
        <v>504</v>
      </c>
      <c r="G6">
        <v>370</v>
      </c>
      <c r="H6">
        <v>555</v>
      </c>
      <c r="I6">
        <v>762</v>
      </c>
      <c r="J6">
        <v>514</v>
      </c>
      <c r="K6">
        <v>547</v>
      </c>
      <c r="L6">
        <v>748</v>
      </c>
      <c r="M6">
        <v>561</v>
      </c>
      <c r="N6">
        <v>731</v>
      </c>
      <c r="O6">
        <v>604</v>
      </c>
    </row>
    <row r="7" spans="1:15" x14ac:dyDescent="0.3">
      <c r="B7" t="s">
        <v>3</v>
      </c>
      <c r="C7" s="3">
        <v>1.9854651689529419</v>
      </c>
      <c r="D7">
        <v>1.5840286016464233</v>
      </c>
      <c r="E7" s="5">
        <v>1.2996032238006592</v>
      </c>
      <c r="F7" s="5">
        <v>1.3972972631454468</v>
      </c>
      <c r="G7" s="5">
        <v>1.4990991353988647</v>
      </c>
      <c r="H7" s="5">
        <v>1.2913385629653931</v>
      </c>
      <c r="I7" s="5">
        <v>-1</v>
      </c>
      <c r="J7" s="5">
        <v>-1</v>
      </c>
      <c r="K7" s="5">
        <v>-1</v>
      </c>
      <c r="L7" s="5">
        <v>-1</v>
      </c>
      <c r="M7" s="5">
        <v>-1</v>
      </c>
      <c r="N7" s="5">
        <v>-1</v>
      </c>
      <c r="O7" s="5">
        <v>-1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678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-10</v>
      </c>
      <c r="E14">
        <f>IF(D14&gt;1,1,D13/D6)</f>
        <v>0.98546511627906974</v>
      </c>
      <c r="F14" t="s">
        <v>14</v>
      </c>
    </row>
    <row r="15" spans="1:15" x14ac:dyDescent="0.3">
      <c r="C15" t="s">
        <v>8</v>
      </c>
      <c r="D15">
        <f>D14-E6</f>
        <v>-849</v>
      </c>
      <c r="E15">
        <f>IF(D15&gt;1,1,D14/E6)</f>
        <v>-1.1918951132300357E-2</v>
      </c>
      <c r="F15" t="s">
        <v>15</v>
      </c>
    </row>
    <row r="16" spans="1:15" x14ac:dyDescent="0.3">
      <c r="C16" t="s">
        <v>9</v>
      </c>
      <c r="E16" s="3">
        <f>SUM(E13:E15)</f>
        <v>1.9735461651467694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2024-05-19T11:31:37Z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