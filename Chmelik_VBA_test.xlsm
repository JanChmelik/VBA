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Jan\case study VBA\"/>
    </mc:Choice>
  </mc:AlternateContent>
  <xr:revisionPtr revIDLastSave="0" documentId="13_ncr:1_{5C4E8BE6-9938-4FDE-A5A0-25054D6C9DE4}" xr6:coauthVersionLast="47" xr6:coauthVersionMax="47" xr10:uidLastSave="{00000000-0000-0000-0000-000000000000}"/>
  <bookViews>
    <workbookView xWindow="-108" yWindow="-108" windowWidth="23256" windowHeight="12720" xr2:uid="{0945BE5F-B64E-4AEC-AC26-E848FFA394E7}"/>
  </bookViews>
  <sheets>
    <sheet name="Lis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1" l="1"/>
  <c r="E4" i="1" s="1"/>
  <c r="F4" i="1" s="1"/>
  <c r="G4" i="1" s="1"/>
  <c r="H4" i="1" s="1"/>
  <c r="I4" i="1" s="1"/>
  <c r="J4" i="1" s="1"/>
  <c r="K4" i="1" s="1"/>
  <c r="L4" i="1" s="1"/>
  <c r="D13" i="1"/>
  <c r="E13" i="1" s="1"/>
  <c r="E3" i="1"/>
  <c r="F3" i="1" s="1"/>
  <c r="G3" i="1" s="1"/>
  <c r="H3" i="1" s="1"/>
  <c r="I3" i="1" s="1"/>
  <c r="J3" i="1" s="1"/>
  <c r="K3" i="1" s="1"/>
  <c r="L3" i="1" s="1"/>
  <c r="M3" i="1" s="1"/>
  <c r="N3" i="1" s="1"/>
  <c r="O3" i="1" s="1"/>
  <c r="D3" i="1"/>
  <c r="D14" i="1" l="1"/>
  <c r="E14" i="1" s="1"/>
  <c r="M4" i="1"/>
  <c r="N4" i="1" s="1"/>
  <c r="O4" i="1" s="1"/>
  <c r="D15" i="1" l="1"/>
  <c r="E15" i="1" s="1"/>
  <c r="E16" i="1" s="1"/>
</calcChain>
</file>

<file path=xl/sharedStrings.xml><?xml version="1.0" encoding="utf-8"?>
<sst xmlns="http://schemas.openxmlformats.org/spreadsheetml/2006/main" count="21" uniqueCount="19">
  <si>
    <t>STOCK</t>
  </si>
  <si>
    <t>FORECAST</t>
  </si>
  <si>
    <t>DATE</t>
  </si>
  <si>
    <t>DAYS OF COVER</t>
  </si>
  <si>
    <t>PRODUCTION</t>
  </si>
  <si>
    <t>Days of cover</t>
  </si>
  <si>
    <t>1.</t>
  </si>
  <si>
    <t>2.</t>
  </si>
  <si>
    <t>3.</t>
  </si>
  <si>
    <t xml:space="preserve">Days of cover = </t>
  </si>
  <si>
    <t>Specification:</t>
  </si>
  <si>
    <t>this value expresses for how many days of forecast we have stock</t>
  </si>
  <si>
    <t>Please look at example for day 1 (there are formulas in the table above)</t>
  </si>
  <si>
    <t>result is &gt; 1, it means stock will cover day 1 and we continue to day 2</t>
  </si>
  <si>
    <t>result is &gt; 1, it means stock will cover day 2 and we continue to day 3</t>
  </si>
  <si>
    <t>result is &lt;1, it means that stock does not cover day 3, but only part of it</t>
  </si>
  <si>
    <t>Tasks:</t>
  </si>
  <si>
    <t>Write a function, which will calculate days of cover. Call this function in row 7.</t>
  </si>
  <si>
    <t>Please add button, which will change values in row 6 (Forecast). Use random values generator in range of (300;800)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</si>
</sst>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2" borderId="0" xfId="0" applyFill="1"/>
    <xf numFmtId="0" fontId="2" fillId="0" borderId="0" xfId="0" applyFont="1"/>
    <xf numFmtId="0" fontId="0" fillId="3" borderId="0" xfId="0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685800</xdr:colOff>
          <xdr:row>20</xdr:row>
          <xdr:rowOff>15240</xdr:rowOff>
        </xdr:from>
        <xdr:to>
          <xdr:col>12</xdr:col>
          <xdr:colOff>678180</xdr:colOff>
          <xdr:row>23</xdr:row>
          <xdr:rowOff>53340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Randomize</a:t>
              </a:r>
            </a:p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FORECAST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AF6D8-B951-46BB-A973-24BBC2C70710}">
  <sheetPr codeName="List1"/>
  <dimension ref="A2:P21"/>
  <sheetViews>
    <sheetView tabSelected="1" workbookViewId="0">
      <selection activeCell="P7" sqref="P7"/>
    </sheetView>
  </sheetViews>
  <sheetFormatPr defaultRowHeight="14.4" x14ac:dyDescent="0.3"/>
  <cols>
    <col min="1" max="1" width="8.77734375" customWidth="1"/>
    <col min="2" max="2" width="15" bestFit="1" customWidth="1"/>
    <col min="3" max="3" width="17" customWidth="1"/>
    <col min="4" max="15" width="10.109375" bestFit="1" customWidth="1"/>
  </cols>
  <sheetData>
    <row r="2" spans="1:16" x14ac:dyDescent="0.3">
      <c r="A2" s="4" t="s">
        <v>10</v>
      </c>
    </row>
    <row r="3" spans="1:16" x14ac:dyDescent="0.3">
      <c r="B3" t="s">
        <v>2</v>
      </c>
      <c r="C3" s="1">
        <v>44454</v>
      </c>
      <c r="D3" s="1">
        <f>C3+1</f>
        <v>44455</v>
      </c>
      <c r="E3" s="1">
        <f t="shared" ref="E3:O3" si="0">D3+1</f>
        <v>44456</v>
      </c>
      <c r="F3" s="1">
        <f t="shared" si="0"/>
        <v>44457</v>
      </c>
      <c r="G3" s="1">
        <f t="shared" si="0"/>
        <v>44458</v>
      </c>
      <c r="H3" s="1">
        <f t="shared" si="0"/>
        <v>44459</v>
      </c>
      <c r="I3" s="1">
        <f t="shared" si="0"/>
        <v>44460</v>
      </c>
      <c r="J3" s="1">
        <f t="shared" si="0"/>
        <v>44461</v>
      </c>
      <c r="K3" s="1">
        <f t="shared" si="0"/>
        <v>44462</v>
      </c>
      <c r="L3" s="1">
        <f t="shared" si="0"/>
        <v>44463</v>
      </c>
      <c r="M3" s="1">
        <f t="shared" si="0"/>
        <v>44464</v>
      </c>
      <c r="N3" s="1">
        <f t="shared" si="0"/>
        <v>44465</v>
      </c>
      <c r="O3" s="1">
        <f t="shared" si="0"/>
        <v>44466</v>
      </c>
    </row>
    <row r="4" spans="1:16" x14ac:dyDescent="0.3">
      <c r="B4" t="s">
        <v>0</v>
      </c>
      <c r="C4" s="6">
        <v>1000</v>
      </c>
      <c r="D4" s="6">
        <f>C4+C5-C6</f>
        <v>948</v>
      </c>
      <c r="E4" s="6">
        <f t="shared" ref="E4:O4" si="1">D4+D5-D6</f>
        <v>819</v>
      </c>
      <c r="F4" s="5">
        <f t="shared" si="1"/>
        <v>684</v>
      </c>
      <c r="G4" s="6">
        <f t="shared" si="1"/>
        <v>416</v>
      </c>
      <c r="H4" s="6">
        <f t="shared" si="1"/>
        <v>591</v>
      </c>
      <c r="I4" s="6">
        <f t="shared" si="1"/>
        <v>548</v>
      </c>
      <c r="J4" s="6">
        <f t="shared" si="1"/>
        <v>713</v>
      </c>
      <c r="K4" s="6">
        <f t="shared" si="1"/>
        <v>726</v>
      </c>
      <c r="L4" s="5">
        <f t="shared" si="1"/>
        <v>565</v>
      </c>
      <c r="M4" s="5">
        <f>L4+L5-L6</f>
        <v>455</v>
      </c>
      <c r="N4" s="5">
        <f t="shared" si="1"/>
        <v>298</v>
      </c>
      <c r="O4" s="5">
        <f t="shared" si="1"/>
        <v>301</v>
      </c>
      <c r="P4" s="6"/>
    </row>
    <row r="5" spans="1:16" x14ac:dyDescent="0.3">
      <c r="B5" t="s">
        <v>4</v>
      </c>
      <c r="C5">
        <v>500</v>
      </c>
      <c r="D5">
        <v>500</v>
      </c>
      <c r="E5">
        <v>500</v>
      </c>
      <c r="F5">
        <v>500</v>
      </c>
      <c r="G5">
        <v>500</v>
      </c>
      <c r="H5">
        <v>500</v>
      </c>
      <c r="I5">
        <v>500</v>
      </c>
      <c r="J5">
        <v>500</v>
      </c>
      <c r="K5">
        <v>500</v>
      </c>
      <c r="L5">
        <v>500</v>
      </c>
      <c r="M5">
        <v>500</v>
      </c>
      <c r="N5">
        <v>500</v>
      </c>
      <c r="O5">
        <v>500</v>
      </c>
    </row>
    <row r="6" spans="1:16" x14ac:dyDescent="0.3">
      <c r="B6" t="s">
        <v>1</v>
      </c>
      <c r="C6">
        <v>552</v>
      </c>
      <c r="D6">
        <v>629</v>
      </c>
      <c r="E6">
        <v>635</v>
      </c>
      <c r="F6">
        <v>768</v>
      </c>
      <c r="G6">
        <v>325</v>
      </c>
      <c r="H6">
        <v>543</v>
      </c>
      <c r="I6">
        <v>335</v>
      </c>
      <c r="J6">
        <v>487</v>
      </c>
      <c r="K6">
        <v>661</v>
      </c>
      <c r="L6">
        <v>610</v>
      </c>
      <c r="M6">
        <v>657</v>
      </c>
      <c r="N6">
        <v>497</v>
      </c>
      <c r="O6">
        <v>845</v>
      </c>
    </row>
    <row r="7" spans="1:16" x14ac:dyDescent="0.3">
      <c r="B7" t="s">
        <v>3</v>
      </c>
      <c r="C7" s="6">
        <v>1.7122416496276855</v>
      </c>
      <c r="D7" s="6">
        <v>1.5023622512817383</v>
      </c>
      <c r="E7" s="6">
        <v>1.2395833730697632</v>
      </c>
      <c r="F7" s="5">
        <v>-1</v>
      </c>
      <c r="G7" s="6">
        <v>1.1675875186920166</v>
      </c>
      <c r="H7" s="6">
        <v>1.1432836055755615</v>
      </c>
      <c r="I7" s="6">
        <v>1.4373716115951538</v>
      </c>
      <c r="J7" s="6">
        <v>1.3419061899185181</v>
      </c>
      <c r="K7" s="6">
        <v>1.1065573692321777</v>
      </c>
      <c r="L7" s="5">
        <v>-1</v>
      </c>
      <c r="M7" s="5">
        <v>-1</v>
      </c>
      <c r="N7" s="5">
        <v>-1</v>
      </c>
      <c r="O7" s="5">
        <v>-1</v>
      </c>
      <c r="P7" s="6"/>
    </row>
    <row r="10" spans="1:16" x14ac:dyDescent="0.3">
      <c r="B10" t="s">
        <v>5</v>
      </c>
      <c r="C10" t="s">
        <v>11</v>
      </c>
    </row>
    <row r="11" spans="1:16" x14ac:dyDescent="0.3">
      <c r="C11" t="s">
        <v>12</v>
      </c>
    </row>
    <row r="13" spans="1:16" x14ac:dyDescent="0.3">
      <c r="C13" t="s">
        <v>6</v>
      </c>
      <c r="D13">
        <f>C4-C6</f>
        <v>448</v>
      </c>
      <c r="E13">
        <f>IF(D13&gt;1,1,C6/C4)</f>
        <v>1</v>
      </c>
      <c r="F13" t="s">
        <v>13</v>
      </c>
    </row>
    <row r="14" spans="1:16" x14ac:dyDescent="0.3">
      <c r="C14" t="s">
        <v>7</v>
      </c>
      <c r="D14">
        <f>D13-D6</f>
        <v>-181</v>
      </c>
      <c r="E14">
        <f>IF(D14&gt;1,1,D13/D6)</f>
        <v>0.71224165341812395</v>
      </c>
      <c r="F14" t="s">
        <v>14</v>
      </c>
    </row>
    <row r="15" spans="1:16" x14ac:dyDescent="0.3">
      <c r="C15" t="s">
        <v>8</v>
      </c>
      <c r="D15">
        <f>D14-E6</f>
        <v>-816</v>
      </c>
      <c r="E15">
        <f>IF(D15&gt;1,1,D14/E6)</f>
        <v>-0.28503937007874014</v>
      </c>
      <c r="F15" t="s">
        <v>15</v>
      </c>
    </row>
    <row r="16" spans="1:16" x14ac:dyDescent="0.3">
      <c r="C16" t="s">
        <v>9</v>
      </c>
      <c r="E16" s="3">
        <f>SUM(E13:E15)</f>
        <v>1.4272022833393838</v>
      </c>
    </row>
    <row r="17" spans="1:4" x14ac:dyDescent="0.3">
      <c r="D17" s="2"/>
    </row>
    <row r="19" spans="1:4" x14ac:dyDescent="0.3">
      <c r="A19" s="4" t="s">
        <v>16</v>
      </c>
    </row>
    <row r="20" spans="1:4" x14ac:dyDescent="0.3">
      <c r="B20" t="s">
        <v>6</v>
      </c>
      <c r="C20" t="s">
        <v>17</v>
      </c>
    </row>
    <row r="21" spans="1:4" x14ac:dyDescent="0.3">
      <c r="B21" t="s">
        <v>7</v>
      </c>
      <c r="C21" t="s">
        <v>18</v>
      </c>
    </row>
  </sheetData>
  <pageMargins left="0.7" right="0.7" top="0.78740157499999996" bottom="0.78740157499999996" header="0.3" footer="0.3"/>
  <pageSetup paperSize="9" orientation="portrait" r:id="rId1"/>
  <headerFooter>
    <oddHeader>&amp;R&amp;"Calibri"&amp;10&amp;K000000AEI: Internal&amp;1#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 sizeWithCells="1">
                  <from>
                    <xdr:col>10</xdr:col>
                    <xdr:colOff>685800</xdr:colOff>
                    <xdr:row>20</xdr:row>
                    <xdr:rowOff>15240</xdr:rowOff>
                  </from>
                  <to>
                    <xdr:col>12</xdr:col>
                    <xdr:colOff>678180</xdr:colOff>
                    <xdr:row>23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List1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Alena Struncova</dc:creator>
  <cp:lastModifiedBy>Jan Chmelík</cp:lastModifiedBy>
  <dcterms:created xsi:type="dcterms:W3CDTF">2021-09-14T12:59:23Z</dcterms:created>
  <dcterms:modified xsi:type="dcterms:W3CDTF">2024-05-19T12:49:14Z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902d893-e969-45ad-97c1-6b351819e922_Enabled">
    <vt:lpwstr>true</vt:lpwstr>
  </property>
  <property fmtid="{D5CDD505-2E9C-101B-9397-08002B2CF9AE}" pid="3" name="MSIP_Label_b902d893-e969-45ad-97c1-6b351819e922_SetDate">
    <vt:lpwstr>2021-09-15T09:21:54Z</vt:lpwstr>
  </property>
  <property fmtid="{D5CDD505-2E9C-101B-9397-08002B2CF9AE}" pid="4" name="MSIP_Label_b902d893-e969-45ad-97c1-6b351819e922_Method">
    <vt:lpwstr>Standard</vt:lpwstr>
  </property>
  <property fmtid="{D5CDD505-2E9C-101B-9397-08002B2CF9AE}" pid="5" name="MSIP_Label_b902d893-e969-45ad-97c1-6b351819e922_Name">
    <vt:lpwstr>L002S002</vt:lpwstr>
  </property>
  <property fmtid="{D5CDD505-2E9C-101B-9397-08002B2CF9AE}" pid="6" name="MSIP_Label_b902d893-e969-45ad-97c1-6b351819e922_SiteId">
    <vt:lpwstr>7ef011f8-898a-4d01-8232-9087b2c2abaf</vt:lpwstr>
  </property>
  <property fmtid="{D5CDD505-2E9C-101B-9397-08002B2CF9AE}" pid="7" name="MSIP_Label_b902d893-e969-45ad-97c1-6b351819e922_ActionId">
    <vt:lpwstr>62cf97d7-b65c-4b7f-93f7-5613e0e1ad98</vt:lpwstr>
  </property>
  <property fmtid="{D5CDD505-2E9C-101B-9397-08002B2CF9AE}" pid="8" name="MSIP_Label_b902d893-e969-45ad-97c1-6b351819e922_ContentBits">
    <vt:lpwstr>1</vt:lpwstr>
  </property>
</Properties>
</file>