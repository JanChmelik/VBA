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\"/>
    </mc:Choice>
  </mc:AlternateContent>
  <xr:revisionPtr revIDLastSave="0" documentId="13_ncr:1_{5F884AA1-265A-49A6-8530-CDC966C2E759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E4" i="1" s="1"/>
  <c r="F4" i="1" s="1"/>
  <c r="G4" i="1" s="1"/>
  <c r="H4" i="1" s="1"/>
  <c r="I4" i="1" s="1"/>
  <c r="J4" i="1" s="1"/>
  <c r="K4" i="1" s="1"/>
  <c r="L4" i="1" s="1"/>
  <c r="D13" i="1"/>
  <c r="E13" i="1" s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  <c r="D14" i="1" l="1"/>
  <c r="E14" i="1" s="1"/>
  <c r="M4" i="1"/>
  <c r="N4" i="1" s="1"/>
  <c r="O4" i="1" s="1"/>
  <c r="D15" i="1" l="1"/>
  <c r="E15" i="1" s="1"/>
  <c r="E16" i="1" s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<sst xmlns="http://schemas.openxmlformats.org/spreadsheetml/2006/main" count="21" uniqueCount="19">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</sst>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3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685800</xdr:colOff>
          <xdr:row>20</xdr:row>
          <xdr:rowOff>15240</xdr:rowOff>
        </xdr:from>
        <xdr:to>
          <xdr:col>12</xdr:col>
          <xdr:colOff>678180</xdr:colOff>
          <xdr:row>23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P21"/>
  <sheetViews>
    <sheetView tabSelected="1" workbookViewId="0">
      <selection activeCell="P7" sqref="P7"/>
    </sheetView>
  </sheetViews>
  <sheetFormatPr defaultRowHeight="14.4" x14ac:dyDescent="0.3"/>
  <cols>
    <col min="1" max="1" width="8.77734375" customWidth="1"/>
    <col min="2" max="2" width="15" bestFit="1" customWidth="1"/>
    <col min="3" max="3" width="17" customWidth="1"/>
    <col min="4" max="15" width="10.109375" bestFit="1" customWidth="1"/>
  </cols>
  <sheetData>
    <row r="2" spans="1:16" x14ac:dyDescent="0.3">
      <c r="A2" s="4" t="s">
        <v>10</v>
      </c>
    </row>
    <row r="3" spans="1:16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6" x14ac:dyDescent="0.3">
      <c r="B4" t="s">
        <v>0</v>
      </c>
      <c r="C4" s="6">
        <v>1000</v>
      </c>
      <c r="D4" s="6">
        <f>C4+C5-C6</f>
        <v>948</v>
      </c>
      <c r="E4" s="6">
        <f t="shared" ref="E4:O4" si="1">D4+D5-D6</f>
        <v>819</v>
      </c>
      <c r="F4" s="5">
        <f t="shared" si="1"/>
        <v>684</v>
      </c>
      <c r="G4" s="6">
        <f t="shared" si="1"/>
        <v>416</v>
      </c>
      <c r="H4" s="6">
        <f t="shared" si="1"/>
        <v>591</v>
      </c>
      <c r="I4" s="6">
        <f t="shared" si="1"/>
        <v>548</v>
      </c>
      <c r="J4" s="6">
        <f t="shared" si="1"/>
        <v>713</v>
      </c>
      <c r="K4" s="6">
        <f t="shared" si="1"/>
        <v>726</v>
      </c>
      <c r="L4" s="5">
        <f t="shared" si="1"/>
        <v>565</v>
      </c>
      <c r="M4" s="5">
        <f>L4+L5-L6</f>
        <v>455</v>
      </c>
      <c r="N4" s="5">
        <f t="shared" si="1"/>
        <v>298</v>
      </c>
      <c r="O4" s="5">
        <f t="shared" si="1"/>
        <v>301</v>
      </c>
      <c r="P4" s="6"/>
    </row>
    <row r="5" spans="1:16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6" x14ac:dyDescent="0.3">
      <c r="B6" t="s">
        <v>1</v>
      </c>
      <c r="C6">
        <v>552</v>
      </c>
      <c r="D6">
        <v>629</v>
      </c>
      <c r="E6">
        <v>635</v>
      </c>
      <c r="F6">
        <v>768</v>
      </c>
      <c r="G6">
        <v>325</v>
      </c>
      <c r="H6">
        <v>543</v>
      </c>
      <c r="I6">
        <v>335</v>
      </c>
      <c r="J6">
        <v>487</v>
      </c>
      <c r="K6">
        <v>661</v>
      </c>
      <c r="L6">
        <v>610</v>
      </c>
      <c r="M6">
        <v>657</v>
      </c>
      <c r="N6">
        <v>497</v>
      </c>
      <c r="O6">
        <v>845</v>
      </c>
    </row>
    <row r="7" spans="1:16" x14ac:dyDescent="0.3">
      <c r="B7" t="s">
        <v>3</v>
      </c>
      <c r="C7" s="6">
        <v>1.7122416496276855</v>
      </c>
      <c r="D7" s="6">
        <v>1.5023622512817383</v>
      </c>
      <c r="E7" s="6">
        <v>1.2395833730697632</v>
      </c>
      <c r="F7" s="5">
        <v>-1</v>
      </c>
      <c r="G7" s="6">
        <v>1.1675875186920166</v>
      </c>
      <c r="H7" s="6">
        <v>1.1432836055755615</v>
      </c>
      <c r="I7" s="6">
        <v>1.4373716115951538</v>
      </c>
      <c r="J7" s="6">
        <v>1.3419061899185181</v>
      </c>
      <c r="K7" s="6">
        <v>1.1065573692321777</v>
      </c>
      <c r="L7" s="5">
        <v>-1</v>
      </c>
      <c r="M7" s="5">
        <v>-1</v>
      </c>
      <c r="N7" s="5">
        <v>-1</v>
      </c>
      <c r="O7" s="5">
        <v>-1</v>
      </c>
      <c r="P7" s="6"/>
    </row>
    <row r="10" spans="1:16" x14ac:dyDescent="0.3">
      <c r="B10" t="s">
        <v>5</v>
      </c>
      <c r="C10" t="s">
        <v>11</v>
      </c>
    </row>
    <row r="11" spans="1:16" x14ac:dyDescent="0.3">
      <c r="C11" t="s">
        <v>12</v>
      </c>
    </row>
    <row r="13" spans="1:16" x14ac:dyDescent="0.3">
      <c r="C13" t="s">
        <v>6</v>
      </c>
      <c r="D13">
        <f>C4-C6</f>
        <v>448</v>
      </c>
      <c r="E13">
        <f>IF(D13&gt;1,1,C6/C4)</f>
        <v>1</v>
      </c>
      <c r="F13" t="s">
        <v>13</v>
      </c>
    </row>
    <row r="14" spans="1:16" x14ac:dyDescent="0.3">
      <c r="C14" t="s">
        <v>7</v>
      </c>
      <c r="D14">
        <f>D13-D6</f>
        <v>-181</v>
      </c>
      <c r="E14">
        <f>IF(D14&gt;1,1,D13/D6)</f>
        <v>0.71224165341812395</v>
      </c>
      <c r="F14" t="s">
        <v>14</v>
      </c>
    </row>
    <row r="15" spans="1:16" x14ac:dyDescent="0.3">
      <c r="C15" t="s">
        <v>8</v>
      </c>
      <c r="D15">
        <f>D14-E6</f>
        <v>-816</v>
      </c>
      <c r="E15">
        <f>IF(D15&gt;1,1,D14/E6)</f>
        <v>-0.28503937007874014</v>
      </c>
      <c r="F15" t="s">
        <v>15</v>
      </c>
    </row>
    <row r="16" spans="1:16" x14ac:dyDescent="0.3">
      <c r="C16" t="s">
        <v>9</v>
      </c>
      <c r="E16" s="3">
        <f>SUM(E13:E15)</f>
        <v>1.4272022833393838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10</xdr:col>
                    <xdr:colOff>685800</xdr:colOff>
                    <xdr:row>20</xdr:row>
                    <xdr:rowOff>15240</xdr:rowOff>
                  </from>
                  <to>
                    <xdr:col>12</xdr:col>
                    <xdr:colOff>678180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2024-05-19T12:45:45Z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