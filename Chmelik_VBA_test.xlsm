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D233C50F-DB92-4735-A416-8323E68B633C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<sst xmlns="http://schemas.openxmlformats.org/spreadsheetml/2006/main" count="21" uniqueCount="19">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</sst>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P21"/>
  <sheetViews>
    <sheetView tabSelected="1" workbookViewId="0">
      <selection activeCell="P7" sqref="P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6" x14ac:dyDescent="0.3">
      <c r="A2" s="4" t="s">
        <v>10</v>
      </c>
    </row>
    <row r="3" spans="1:16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6" x14ac:dyDescent="0.3">
      <c r="B4" t="s">
        <v>0</v>
      </c>
      <c r="C4" s="6">
        <v>1000</v>
      </c>
      <c r="D4" s="6">
        <f>C4+C5-C6</f>
        <v>967</v>
      </c>
      <c r="E4" s="6">
        <f t="shared" ref="E4:O4" si="1">D4+D5-D6</f>
        <v>651</v>
      </c>
      <c r="F4" s="5">
        <f t="shared" si="1"/>
        <v>500</v>
      </c>
      <c r="G4" s="5">
        <f t="shared" si="1"/>
        <v>142</v>
      </c>
      <c r="H4" s="5">
        <f t="shared" si="1"/>
        <v>32</v>
      </c>
      <c r="I4" s="5">
        <f t="shared" si="1"/>
        <v>34</v>
      </c>
      <c r="J4" s="5">
        <f t="shared" si="1"/>
        <v>-287</v>
      </c>
      <c r="K4" s="5">
        <f t="shared" si="1"/>
        <v>-242</v>
      </c>
      <c r="L4" s="5">
        <f t="shared" si="1"/>
        <v>-197</v>
      </c>
      <c r="M4" s="5">
        <f>L4+L5-L6</f>
        <v>-104</v>
      </c>
      <c r="N4" s="5">
        <f t="shared" si="1"/>
        <v>-112</v>
      </c>
      <c r="O4" s="5">
        <f t="shared" si="1"/>
        <v>87</v>
      </c>
      <c r="P4" s="6"/>
    </row>
    <row r="5" spans="1:16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6" x14ac:dyDescent="0.3">
      <c r="B6" t="s">
        <v>1</v>
      </c>
      <c r="C6">
        <v>533</v>
      </c>
      <c r="D6">
        <v>816</v>
      </c>
      <c r="E6">
        <v>651</v>
      </c>
      <c r="F6">
        <v>858</v>
      </c>
      <c r="G6">
        <v>610</v>
      </c>
      <c r="H6">
        <v>498</v>
      </c>
      <c r="I6">
        <v>821</v>
      </c>
      <c r="J6">
        <v>455</v>
      </c>
      <c r="K6">
        <v>455</v>
      </c>
      <c r="L6">
        <v>407</v>
      </c>
      <c r="M6">
        <v>508</v>
      </c>
      <c r="N6">
        <v>301</v>
      </c>
      <c r="O6">
        <v>745</v>
      </c>
    </row>
    <row r="7" spans="1:16" x14ac:dyDescent="0.3">
      <c r="B7" t="s">
        <v>3</v>
      </c>
      <c r="C7" s="6">
        <v>1.5723038911819458</v>
      </c>
      <c r="D7" s="6">
        <v>1.2319508790969849</v>
      </c>
      <c r="E7" s="6">
        <v>1.2162485122680664</v>
      </c>
      <c r="F7" s="5">
        <v>-1</v>
      </c>
      <c r="G7" s="5">
        <v>-1</v>
      </c>
      <c r="H7" s="5">
        <v>-1</v>
      </c>
      <c r="I7" s="5">
        <v>-1</v>
      </c>
      <c r="J7" s="5">
        <v>-1</v>
      </c>
      <c r="K7" s="5">
        <v>-1</v>
      </c>
      <c r="L7" s="5">
        <v>-1</v>
      </c>
      <c r="M7" s="5">
        <v>-1</v>
      </c>
      <c r="N7" s="5">
        <v>-1</v>
      </c>
      <c r="O7" s="5">
        <v>-1</v>
      </c>
      <c r="P7" s="6"/>
    </row>
    <row r="10" spans="1:16" x14ac:dyDescent="0.3">
      <c r="B10" t="s">
        <v>5</v>
      </c>
      <c r="C10" t="s">
        <v>11</v>
      </c>
    </row>
    <row r="11" spans="1:16" x14ac:dyDescent="0.3">
      <c r="C11" t="s">
        <v>12</v>
      </c>
    </row>
    <row r="13" spans="1:16" x14ac:dyDescent="0.3">
      <c r="C13" t="s">
        <v>6</v>
      </c>
      <c r="D13">
        <f>C4-C6</f>
        <v>467</v>
      </c>
      <c r="E13">
        <f>IF(D13&gt;1,1,C6/C4)</f>
        <v>1</v>
      </c>
      <c r="F13" t="s">
        <v>13</v>
      </c>
    </row>
    <row r="14" spans="1:16" x14ac:dyDescent="0.3">
      <c r="C14" t="s">
        <v>7</v>
      </c>
      <c r="D14">
        <f>D13-D6</f>
        <v>-349</v>
      </c>
      <c r="E14">
        <f>IF(D14&gt;1,1,D13/D6)</f>
        <v>0.57230392156862742</v>
      </c>
      <c r="F14" t="s">
        <v>14</v>
      </c>
    </row>
    <row r="15" spans="1:16" x14ac:dyDescent="0.3">
      <c r="C15" t="s">
        <v>8</v>
      </c>
      <c r="D15">
        <f>D14-E6</f>
        <v>-1000</v>
      </c>
      <c r="E15">
        <f>IF(D15&gt;1,1,D14/E6)</f>
        <v>-0.53609831029185873</v>
      </c>
      <c r="F15" t="s">
        <v>15</v>
      </c>
    </row>
    <row r="16" spans="1:16" x14ac:dyDescent="0.3">
      <c r="C16" t="s">
        <v>9</v>
      </c>
      <c r="E16" s="3">
        <f>SUM(E13:E15)</f>
        <v>1.0362056112767686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