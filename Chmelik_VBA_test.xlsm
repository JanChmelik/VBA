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\"/>
    </mc:Choice>
  </mc:AlternateContent>
  <xr:revisionPtr revIDLastSave="0" documentId="8_{3A949AC0-2959-435E-A675-4D43675B3E39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E7" i="1"/>
  <c r="E16" i="1"/>
  <c r="E15" i="1"/>
  <c r="E14" i="1"/>
  <c r="E13" i="1"/>
  <c r="D15" i="1"/>
  <c r="D14" i="1"/>
  <c r="D13" i="1"/>
  <c r="E4" i="1"/>
  <c r="F4" i="1" s="1"/>
  <c r="G4" i="1" s="1"/>
  <c r="H4" i="1" s="1"/>
  <c r="I4" i="1" s="1"/>
  <c r="J4" i="1" s="1"/>
  <c r="K4" i="1" s="1"/>
  <c r="L4" i="1" s="1"/>
  <c r="N4" i="1" s="1"/>
  <c r="O4" i="1" s="1"/>
  <c r="D4" i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<sst xmlns="http://schemas.openxmlformats.org/spreadsheetml/2006/main" count="21" uniqueCount="19">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</sst>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O21"/>
  <sheetViews>
    <sheetView tabSelected="1" workbookViewId="0">
      <selection activeCell="L6" sqref="L6"/>
    </sheetView>
  </sheetViews>
  <sheetFormatPr defaultRowHeight="14.4" x14ac:dyDescent="0.3"/>
  <cols>
    <col min="2" max="2" width="15" bestFit="1" customWidth="1"/>
    <col min="3" max="3" width="17" customWidth="1"/>
    <col min="4" max="15" width="10.109375" bestFit="1" customWidth="1"/>
  </cols>
  <sheetData>
    <row r="2" spans="1:15" x14ac:dyDescent="0.3">
      <c r="A2" s="4" t="s">
        <v>10</v>
      </c>
    </row>
    <row r="3" spans="1:15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5" x14ac:dyDescent="0.3">
      <c r="B4" t="s">
        <v>0</v>
      </c>
      <c r="C4">
        <v>1000</v>
      </c>
      <c r="D4">
        <f>C4+C5-C6</f>
        <v>1081</v>
      </c>
      <c r="E4">
        <f t="shared" ref="E4:O4" si="1">D4+D5-D6</f>
        <v>1245</v>
      </c>
      <c r="F4">
        <f t="shared" si="1"/>
        <v>1035</v>
      </c>
      <c r="G4">
        <f t="shared" si="1"/>
        <v>917</v>
      </c>
      <c r="H4">
        <f t="shared" si="1"/>
        <v>743</v>
      </c>
      <c r="I4">
        <f t="shared" si="1"/>
        <v>808</v>
      </c>
      <c r="J4">
        <f t="shared" si="1"/>
        <v>904</v>
      </c>
      <c r="K4">
        <f t="shared" si="1"/>
        <v>802</v>
      </c>
      <c r="L4">
        <f t="shared" si="1"/>
        <v>802</v>
      </c>
      <c r="M4">
        <f>L4+L5-L6</f>
        <v>756</v>
      </c>
      <c r="N4">
        <f t="shared" si="1"/>
        <v>698</v>
      </c>
      <c r="O4">
        <f t="shared" si="1"/>
        <v>470</v>
      </c>
    </row>
    <row r="5" spans="1:15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5" x14ac:dyDescent="0.3">
      <c r="B6" t="s">
        <v>1</v>
      </c>
      <c r="C6">
        <v>419</v>
      </c>
      <c r="D6">
        <v>336</v>
      </c>
      <c r="E6">
        <v>710</v>
      </c>
      <c r="F6">
        <v>618</v>
      </c>
      <c r="G6">
        <v>674</v>
      </c>
      <c r="H6">
        <v>435</v>
      </c>
      <c r="I6">
        <v>404</v>
      </c>
      <c r="J6">
        <v>602</v>
      </c>
      <c r="K6">
        <v>500</v>
      </c>
      <c r="L6">
        <v>546</v>
      </c>
      <c r="M6">
        <v>558</v>
      </c>
      <c r="N6">
        <v>728</v>
      </c>
      <c r="O6">
        <v>507</v>
      </c>
    </row>
    <row r="7" spans="1:15" x14ac:dyDescent="0.3">
      <c r="B7" t="s">
        <v>3</v>
      </c>
      <c r="C7" s="3">
        <v>2.34</v>
      </c>
      <c r="E7">
        <f>E4-E6</f>
        <v>535</v>
      </c>
    </row>
    <row r="10" spans="1:15" x14ac:dyDescent="0.3">
      <c r="B10" t="s">
        <v>5</v>
      </c>
      <c r="C10" t="s">
        <v>11</v>
      </c>
    </row>
    <row r="11" spans="1:15" x14ac:dyDescent="0.3">
      <c r="C11" t="s">
        <v>12</v>
      </c>
    </row>
    <row r="13" spans="1:15" x14ac:dyDescent="0.3">
      <c r="C13" t="s">
        <v>6</v>
      </c>
      <c r="D13">
        <f>C4-C6</f>
        <v>581</v>
      </c>
      <c r="E13">
        <f>IF(D13&gt;1,1,C6/C4)</f>
        <v>1</v>
      </c>
      <c r="F13" t="s">
        <v>13</v>
      </c>
    </row>
    <row r="14" spans="1:15" x14ac:dyDescent="0.3">
      <c r="C14" t="s">
        <v>7</v>
      </c>
      <c r="D14">
        <f>D13-D6</f>
        <v>245</v>
      </c>
      <c r="E14">
        <f>IF(D14&gt;1,1,D13/D6)</f>
        <v>1</v>
      </c>
      <c r="F14" t="s">
        <v>14</v>
      </c>
    </row>
    <row r="15" spans="1:15" x14ac:dyDescent="0.3">
      <c r="C15" t="s">
        <v>8</v>
      </c>
      <c r="D15">
        <f>D14-E6</f>
        <v>-465</v>
      </c>
      <c r="E15">
        <f>IF(D15&gt;1,1,D14/E6)</f>
        <v>0.34507042253521125</v>
      </c>
      <c r="F15" t="s">
        <v>15</v>
      </c>
    </row>
    <row r="16" spans="1:15" x14ac:dyDescent="0.3">
      <c r="C16" t="s">
        <v>9</v>
      </c>
      <c r="E16" s="3">
        <f>SUM(E13:E15)</f>
        <v>2.345070422535211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pageMargins left="0.7" right="0.7" top="0.78740157499999996" bottom="0.78740157499999996" header="0.3" footer="0.3"/>
  <pageSetup paperSize="9" orientation="portrait" verticalDpi="0" r:id="rId1"/>
  <headerFooter>
    <oddHeader>&amp;R&amp;"Calibri"&amp;10&amp;K000000AEI: 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2024-05-16T17:14:40Z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